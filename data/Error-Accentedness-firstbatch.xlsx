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leyhsu123/Downloads/"/>
    </mc:Choice>
  </mc:AlternateContent>
  <xr:revisionPtr revIDLastSave="0" documentId="13_ncr:1_{69484BFC-8AEC-DA4C-A2AA-A416E6F2833E}" xr6:coauthVersionLast="45" xr6:coauthVersionMax="45" xr10:uidLastSave="{00000000-0000-0000-0000-000000000000}"/>
  <bookViews>
    <workbookView xWindow="10900" yWindow="500" windowWidth="17900" windowHeight="16380" activeTab="1" xr2:uid="{EB42C52C-73E3-124D-84B9-E6403877D1D0}"/>
  </bookViews>
  <sheets>
    <sheet name="first-four" sheetId="1" r:id="rId1"/>
    <sheet name="48-main" sheetId="2" r:id="rId2"/>
  </sheets>
  <definedNames>
    <definedName name="_xlnm._FilterDatabase" localSheetId="0" hidden="1">'first-four'!$A$1:$A$193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8" i="2" l="1"/>
  <c r="N18" i="2"/>
  <c r="O17" i="2"/>
  <c r="N16" i="2"/>
  <c r="D31" i="2" l="1"/>
  <c r="D32" i="2"/>
  <c r="C32" i="2"/>
  <c r="D33" i="2"/>
  <c r="C33" i="2"/>
  <c r="B33" i="2"/>
  <c r="AF14" i="1"/>
  <c r="AE14" i="1"/>
  <c r="AF13" i="1"/>
  <c r="AE12" i="1"/>
  <c r="AA6" i="1"/>
  <c r="Z6" i="1"/>
  <c r="Y6" i="1"/>
  <c r="AA5" i="1"/>
  <c r="Z5" i="1"/>
  <c r="Y5" i="1"/>
  <c r="AA4" i="1"/>
  <c r="Z4" i="1"/>
  <c r="Y4" i="1"/>
  <c r="AA3" i="1"/>
  <c r="Z3" i="1"/>
  <c r="Y3" i="1"/>
</calcChain>
</file>

<file path=xl/sharedStrings.xml><?xml version="1.0" encoding="utf-8"?>
<sst xmlns="http://schemas.openxmlformats.org/spreadsheetml/2006/main" count="343" uniqueCount="46">
  <si>
    <t>cond_sing</t>
  </si>
  <si>
    <t>response</t>
  </si>
  <si>
    <t>both</t>
  </si>
  <si>
    <t>Y</t>
  </si>
  <si>
    <t>no_error</t>
  </si>
  <si>
    <t>Nans</t>
  </si>
  <si>
    <t>phon_only</t>
  </si>
  <si>
    <t>nonphon_only</t>
  </si>
  <si>
    <t>Nun</t>
  </si>
  <si>
    <t>COUNTA of response</t>
  </si>
  <si>
    <t>Grand Total</t>
  </si>
  <si>
    <t>err_type_response</t>
  </si>
  <si>
    <t>REVISIT</t>
  </si>
  <si>
    <t>other</t>
  </si>
  <si>
    <t>COUNTA of err_type_response</t>
  </si>
  <si>
    <t>both_err</t>
  </si>
  <si>
    <t>correct</t>
  </si>
  <si>
    <t>non_phon_err</t>
  </si>
  <si>
    <t>phon_err</t>
  </si>
  <si>
    <t>no error</t>
  </si>
  <si>
    <t>nonphonological error</t>
  </si>
  <si>
    <t>phonological error</t>
  </si>
  <si>
    <t>np</t>
  </si>
  <si>
    <t>otherirr</t>
  </si>
  <si>
    <t>othernp</t>
  </si>
  <si>
    <t>otherp</t>
  </si>
  <si>
    <t>p</t>
  </si>
  <si>
    <t>phonological error only</t>
  </si>
  <si>
    <t>nonphonological error only</t>
  </si>
  <si>
    <t>both errors</t>
  </si>
  <si>
    <t>4 failed headphone check, 11 failed attention checks</t>
  </si>
  <si>
    <t>COUNTA of err_reported</t>
  </si>
  <si>
    <t>err_reported</t>
  </si>
  <si>
    <t>condition</t>
  </si>
  <si>
    <t>nans</t>
  </si>
  <si>
    <t>nun</t>
  </si>
  <si>
    <t>y</t>
  </si>
  <si>
    <t>question has no errors</t>
  </si>
  <si>
    <t>question needs to be corrected</t>
  </si>
  <si>
    <t>unsure</t>
  </si>
  <si>
    <t>both errors detected</t>
  </si>
  <si>
    <t>52 --&gt; 48 --&gt; 37</t>
  </si>
  <si>
    <t>217 questions with the phon_only error presented, 48 phon errors detected</t>
  </si>
  <si>
    <t>207 questions with the nonphon_only error presented, 64 nonphon errors detected</t>
  </si>
  <si>
    <t>210 questions with both errors presented, 37 phon errors detected</t>
  </si>
  <si>
    <t>210 questions with both errors presented, 51 nonphon errors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</si>
</sst>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83FF"/>
      <color rgb="FFB95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</a:t>
            </a:r>
            <a:r>
              <a:rPr lang="en-US" baseline="0"/>
              <a:t> detection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'first-four'!$F$1:$F$2</c:f>
              <c:strCache>
                <c:ptCount val="2"/>
                <c:pt idx="0">
                  <c:v>response</c:v>
                </c:pt>
                <c:pt idx="1">
                  <c:v>Nans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'first-four'!$E$3:$E$6</c:f>
              <c:strCache>
                <c:ptCount val="4"/>
                <c:pt idx="0">
                  <c:v>no_error</c:v>
                </c:pt>
                <c:pt idx="1">
                  <c:v>phon_only</c:v>
                </c:pt>
                <c:pt idx="2">
                  <c:v>nonphon_only</c:v>
                </c:pt>
                <c:pt idx="3">
                  <c:v>both</c:v>
                </c:pt>
              </c:strCache>
            </c:strRef>
          </c:cat>
          <c:val>
            <c:numRef>
              <c:f>'first-four'!$F$3:$F$6</c:f>
              <c:numCache>
                <c:formatCode>General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E-8647-B7A3-4335C80378A5}"/>
            </c:ext>
          </c:extLst>
        </c:ser>
        <c:ser>
          <c:idx val="1"/>
          <c:order val="1"/>
          <c:tx>
            <c:strRef>
              <c:f>'first-four'!$G$1:$G$2</c:f>
              <c:strCache>
                <c:ptCount val="2"/>
                <c:pt idx="0">
                  <c:v>response</c:v>
                </c:pt>
                <c:pt idx="1">
                  <c:v>Nun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'first-four'!$E$3:$E$6</c:f>
              <c:strCache>
                <c:ptCount val="4"/>
                <c:pt idx="0">
                  <c:v>no_error</c:v>
                </c:pt>
                <c:pt idx="1">
                  <c:v>phon_only</c:v>
                </c:pt>
                <c:pt idx="2">
                  <c:v>nonphon_only</c:v>
                </c:pt>
                <c:pt idx="3">
                  <c:v>both</c:v>
                </c:pt>
              </c:strCache>
            </c:strRef>
          </c:cat>
          <c:val>
            <c:numRef>
              <c:f>'first-four'!$G$3:$G$6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E-8647-B7A3-4335C80378A5}"/>
            </c:ext>
          </c:extLst>
        </c:ser>
        <c:ser>
          <c:idx val="2"/>
          <c:order val="2"/>
          <c:tx>
            <c:strRef>
              <c:f>'first-four'!$H$1:$H$2</c:f>
              <c:strCache>
                <c:ptCount val="2"/>
                <c:pt idx="0">
                  <c:v>response</c:v>
                </c:pt>
                <c:pt idx="1">
                  <c:v>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'first-four'!$E$3:$E$6</c:f>
              <c:strCache>
                <c:ptCount val="4"/>
                <c:pt idx="0">
                  <c:v>no_error</c:v>
                </c:pt>
                <c:pt idx="1">
                  <c:v>phon_only</c:v>
                </c:pt>
                <c:pt idx="2">
                  <c:v>nonphon_only</c:v>
                </c:pt>
                <c:pt idx="3">
                  <c:v>both</c:v>
                </c:pt>
              </c:strCache>
            </c:strRef>
          </c:cat>
          <c:val>
            <c:numRef>
              <c:f>'first-four'!$H$3:$H$6</c:f>
              <c:numCache>
                <c:formatCode>General</c:formatCode>
                <c:ptCount val="4"/>
                <c:pt idx="0">
                  <c:v>7</c:v>
                </c:pt>
                <c:pt idx="1">
                  <c:v>8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E-8647-B7A3-4335C8037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472704"/>
        <c:axId val="436612160"/>
      </c:barChart>
      <c:catAx>
        <c:axId val="4164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12160"/>
        <c:crosses val="autoZero"/>
        <c:auto val="1"/>
        <c:lblAlgn val="ctr"/>
        <c:lblOffset val="100"/>
        <c:noMultiLvlLbl val="0"/>
      </c:catAx>
      <c:valAx>
        <c:axId val="4366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types detected by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'first-four'!$L$1:$L$2</c:f>
              <c:strCache>
                <c:ptCount val="2"/>
                <c:pt idx="0">
                  <c:v>err_type_response</c:v>
                </c:pt>
                <c:pt idx="1">
                  <c:v>nonphon_only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'first-four'!$K$3:$K$6</c:f>
              <c:strCache>
                <c:ptCount val="4"/>
                <c:pt idx="0">
                  <c:v>no_error</c:v>
                </c:pt>
                <c:pt idx="1">
                  <c:v>phon_only</c:v>
                </c:pt>
                <c:pt idx="2">
                  <c:v>nonphon_only</c:v>
                </c:pt>
                <c:pt idx="3">
                  <c:v>both</c:v>
                </c:pt>
              </c:strCache>
            </c:strRef>
          </c:cat>
          <c:val>
            <c:numRef>
              <c:f>'first-four'!$L$3:$L$6</c:f>
              <c:numCache>
                <c:formatCode>General</c:formatCode>
                <c:ptCount val="4"/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A-7C49-A137-2567566FB52C}"/>
            </c:ext>
          </c:extLst>
        </c:ser>
        <c:ser>
          <c:idx val="1"/>
          <c:order val="1"/>
          <c:tx>
            <c:strRef>
              <c:f>'first-four'!$M$1:$M$2</c:f>
              <c:strCache>
                <c:ptCount val="2"/>
                <c:pt idx="0">
                  <c:v>err_type_response</c:v>
                </c:pt>
                <c:pt idx="1">
                  <c:v>phon_only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'first-four'!$K$3:$K$6</c:f>
              <c:strCache>
                <c:ptCount val="4"/>
                <c:pt idx="0">
                  <c:v>no_error</c:v>
                </c:pt>
                <c:pt idx="1">
                  <c:v>phon_only</c:v>
                </c:pt>
                <c:pt idx="2">
                  <c:v>nonphon_only</c:v>
                </c:pt>
                <c:pt idx="3">
                  <c:v>both</c:v>
                </c:pt>
              </c:strCache>
            </c:strRef>
          </c:cat>
          <c:val>
            <c:numRef>
              <c:f>'first-four'!$M$3:$M$6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A-7C49-A137-2567566F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716336"/>
        <c:axId val="413966800"/>
      </c:barChart>
      <c:catAx>
        <c:axId val="41371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66800"/>
        <c:crosses val="autoZero"/>
        <c:auto val="1"/>
        <c:lblAlgn val="ctr"/>
        <c:lblOffset val="100"/>
        <c:noMultiLvlLbl val="0"/>
      </c:catAx>
      <c:valAx>
        <c:axId val="4139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1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responses of</a:t>
            </a:r>
            <a:r>
              <a:rPr lang="en-US" baseline="0"/>
              <a:t> error rate by condition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'first-four'!$S$2</c:f>
              <c:strCache>
                <c:ptCount val="1"/>
                <c:pt idx="0">
                  <c:v>Nans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'first-four'!$R$3:$R$6</c:f>
              <c:strCache>
                <c:ptCount val="4"/>
                <c:pt idx="0">
                  <c:v>no error</c:v>
                </c:pt>
                <c:pt idx="1">
                  <c:v>phonological error</c:v>
                </c:pt>
                <c:pt idx="2">
                  <c:v>nonphonological error</c:v>
                </c:pt>
                <c:pt idx="3">
                  <c:v>both</c:v>
                </c:pt>
              </c:strCache>
            </c:strRef>
          </c:cat>
          <c:val>
            <c:numRef>
              <c:f>'first-four'!$S$3:$S$6</c:f>
              <c:numCache>
                <c:formatCode>General</c:formatCode>
                <c:ptCount val="4"/>
                <c:pt idx="0">
                  <c:v>34</c:v>
                </c:pt>
                <c:pt idx="1">
                  <c:v>20</c:v>
                </c:pt>
                <c:pt idx="2">
                  <c:v>20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B-8048-8329-5A5C8585C8A7}"/>
            </c:ext>
          </c:extLst>
        </c:ser>
        <c:ser>
          <c:idx val="1"/>
          <c:order val="1"/>
          <c:tx>
            <c:strRef>
              <c:f>'first-four'!$T$2</c:f>
              <c:strCache>
                <c:ptCount val="1"/>
                <c:pt idx="0">
                  <c:v>Nun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'first-four'!$R$3:$R$6</c:f>
              <c:strCache>
                <c:ptCount val="4"/>
                <c:pt idx="0">
                  <c:v>no error</c:v>
                </c:pt>
                <c:pt idx="1">
                  <c:v>phonological error</c:v>
                </c:pt>
                <c:pt idx="2">
                  <c:v>nonphonological error</c:v>
                </c:pt>
                <c:pt idx="3">
                  <c:v>both</c:v>
                </c:pt>
              </c:strCache>
            </c:strRef>
          </c:cat>
          <c:val>
            <c:numRef>
              <c:f>'first-four'!$T$3:$T$6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B-8048-8329-5A5C8585C8A7}"/>
            </c:ext>
          </c:extLst>
        </c:ser>
        <c:ser>
          <c:idx val="2"/>
          <c:order val="2"/>
          <c:tx>
            <c:strRef>
              <c:f>'first-four'!$U$2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'first-four'!$R$3:$R$6</c:f>
              <c:strCache>
                <c:ptCount val="4"/>
                <c:pt idx="0">
                  <c:v>no error</c:v>
                </c:pt>
                <c:pt idx="1">
                  <c:v>phonological error</c:v>
                </c:pt>
                <c:pt idx="2">
                  <c:v>nonphonological error</c:v>
                </c:pt>
                <c:pt idx="3">
                  <c:v>both</c:v>
                </c:pt>
              </c:strCache>
            </c:strRef>
          </c:cat>
          <c:val>
            <c:numRef>
              <c:f>'first-four'!$U$3:$U$6</c:f>
              <c:numCache>
                <c:formatCode>General</c:formatCode>
                <c:ptCount val="4"/>
                <c:pt idx="0">
                  <c:v>8</c:v>
                </c:pt>
                <c:pt idx="1">
                  <c:v>21</c:v>
                </c:pt>
                <c:pt idx="2">
                  <c:v>26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8B-8048-8329-5A5C8585C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027888"/>
        <c:axId val="465197616"/>
      </c:barChart>
      <c:catAx>
        <c:axId val="46502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197616"/>
        <c:crosses val="autoZero"/>
        <c:auto val="1"/>
        <c:lblAlgn val="ctr"/>
        <c:lblOffset val="100"/>
        <c:noMultiLvlLbl val="0"/>
      </c:catAx>
      <c:valAx>
        <c:axId val="4651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2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error rate by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'first-four'!$Y$2</c:f>
              <c:strCache>
                <c:ptCount val="1"/>
                <c:pt idx="0">
                  <c:v>Nans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'first-four'!$X$3:$X$6</c:f>
              <c:strCache>
                <c:ptCount val="4"/>
                <c:pt idx="0">
                  <c:v>no error</c:v>
                </c:pt>
                <c:pt idx="1">
                  <c:v>phonological error</c:v>
                </c:pt>
                <c:pt idx="2">
                  <c:v>nonphonological error</c:v>
                </c:pt>
                <c:pt idx="3">
                  <c:v>both</c:v>
                </c:pt>
              </c:strCache>
            </c:strRef>
          </c:cat>
          <c:val>
            <c:numRef>
              <c:f>'first-four'!$Y$3:$Y$6</c:f>
              <c:numCache>
                <c:formatCode>General</c:formatCode>
                <c:ptCount val="4"/>
                <c:pt idx="0">
                  <c:v>0.70833333333333337</c:v>
                </c:pt>
                <c:pt idx="1">
                  <c:v>0.41666666666666669</c:v>
                </c:pt>
                <c:pt idx="2">
                  <c:v>0.41666666666666669</c:v>
                </c:pt>
                <c:pt idx="3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F-CD4F-B409-96120D288624}"/>
            </c:ext>
          </c:extLst>
        </c:ser>
        <c:ser>
          <c:idx val="1"/>
          <c:order val="1"/>
          <c:tx>
            <c:strRef>
              <c:f>'first-four'!$Z$2</c:f>
              <c:strCache>
                <c:ptCount val="1"/>
                <c:pt idx="0">
                  <c:v>Nun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'first-four'!$X$3:$X$6</c:f>
              <c:strCache>
                <c:ptCount val="4"/>
                <c:pt idx="0">
                  <c:v>no error</c:v>
                </c:pt>
                <c:pt idx="1">
                  <c:v>phonological error</c:v>
                </c:pt>
                <c:pt idx="2">
                  <c:v>nonphonological error</c:v>
                </c:pt>
                <c:pt idx="3">
                  <c:v>both</c:v>
                </c:pt>
              </c:strCache>
            </c:strRef>
          </c:cat>
          <c:val>
            <c:numRef>
              <c:f>'first-four'!$Z$3:$Z$6</c:f>
              <c:numCache>
                <c:formatCode>General</c:formatCode>
                <c:ptCount val="4"/>
                <c:pt idx="0">
                  <c:v>0.125</c:v>
                </c:pt>
                <c:pt idx="1">
                  <c:v>0.14583333333333334</c:v>
                </c:pt>
                <c:pt idx="2">
                  <c:v>4.1666666666666664E-2</c:v>
                </c:pt>
                <c:pt idx="3">
                  <c:v>0.14583333333333334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F-CD4F-B409-96120D288624}"/>
            </c:ext>
          </c:extLst>
        </c:ser>
        <c:ser>
          <c:idx val="2"/>
          <c:order val="2"/>
          <c:tx>
            <c:strRef>
              <c:f>'first-four'!$AA$2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'first-four'!$X$3:$X$6</c:f>
              <c:strCache>
                <c:ptCount val="4"/>
                <c:pt idx="0">
                  <c:v>no error</c:v>
                </c:pt>
                <c:pt idx="1">
                  <c:v>phonological error</c:v>
                </c:pt>
                <c:pt idx="2">
                  <c:v>nonphonological error</c:v>
                </c:pt>
                <c:pt idx="3">
                  <c:v>both</c:v>
                </c:pt>
              </c:strCache>
            </c:strRef>
          </c:cat>
          <c:val>
            <c:numRef>
              <c:f>'first-four'!$AA$3:$AA$6</c:f>
              <c:numCache>
                <c:formatCode>General</c:formatCode>
                <c:ptCount val="4"/>
                <c:pt idx="0">
                  <c:v>0.16666666666666666</c:v>
                </c:pt>
                <c:pt idx="1">
                  <c:v>0.4375</c:v>
                </c:pt>
                <c:pt idx="2">
                  <c:v>0.54166666666666663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F-CD4F-B409-96120D288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279600"/>
        <c:axId val="431499456"/>
      </c:barChart>
      <c:catAx>
        <c:axId val="4312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99456"/>
        <c:crosses val="autoZero"/>
        <c:auto val="1"/>
        <c:lblAlgn val="ctr"/>
        <c:lblOffset val="100"/>
        <c:noMultiLvlLbl val="0"/>
      </c:catAx>
      <c:valAx>
        <c:axId val="43149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Proportions of error</a:t>
            </a:r>
            <a:r>
              <a:rPr lang="en-US" baseline="0"/>
              <a:t> type reported by condition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'first-four'!$AE$11</c:f>
              <c:strCache>
                <c:ptCount val="1"/>
                <c:pt idx="0">
                  <c:v>phonological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'first-four'!$AD$12:$AD$14</c:f>
              <c:strCache>
                <c:ptCount val="3"/>
                <c:pt idx="0">
                  <c:v>phonological error only</c:v>
                </c:pt>
                <c:pt idx="1">
                  <c:v>nonphonological error only</c:v>
                </c:pt>
                <c:pt idx="2">
                  <c:v>both errors</c:v>
                </c:pt>
              </c:strCache>
            </c:strRef>
          </c:cat>
          <c:val>
            <c:numRef>
              <c:f>'first-four'!$AE$12:$AE$14</c:f>
              <c:numCache>
                <c:formatCode>General</c:formatCode>
                <c:ptCount val="3"/>
                <c:pt idx="0">
                  <c:v>0.47619047619047616</c:v>
                </c:pt>
                <c:pt idx="2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F-CA4F-B531-53892C9687B7}"/>
            </c:ext>
          </c:extLst>
        </c:ser>
        <c:ser>
          <c:idx val="1"/>
          <c:order val="1"/>
          <c:tx>
            <c:strRef>
              <c:f>'first-four'!$AF$11</c:f>
              <c:strCache>
                <c:ptCount val="1"/>
                <c:pt idx="0">
                  <c:v>nonphonological 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'first-four'!$AD$12:$AD$14</c:f>
              <c:strCache>
                <c:ptCount val="3"/>
                <c:pt idx="0">
                  <c:v>phonological error only</c:v>
                </c:pt>
                <c:pt idx="1">
                  <c:v>nonphonological error only</c:v>
                </c:pt>
                <c:pt idx="2">
                  <c:v>both errors</c:v>
                </c:pt>
              </c:strCache>
            </c:strRef>
          </c:cat>
          <c:val>
            <c:numRef>
              <c:f>'first-four'!$AF$12:$AF$14</c:f>
              <c:numCache>
                <c:formatCode>General</c:formatCode>
                <c:ptCount val="3"/>
                <c:pt idx="1">
                  <c:v>0.77777777777777779</c:v>
                </c:pt>
                <c:pt idx="2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F-CA4F-B531-53892C968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749696"/>
        <c:axId val="145472367"/>
      </c:barChart>
      <c:catAx>
        <c:axId val="26574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2367"/>
        <c:crosses val="autoZero"/>
        <c:auto val="1"/>
        <c:lblAlgn val="ctr"/>
        <c:lblOffset val="100"/>
        <c:noMultiLvlLbl val="0"/>
      </c:catAx>
      <c:valAx>
        <c:axId val="14547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4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reported at 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'48-main'!$B$16</c:f>
              <c:strCache>
                <c:ptCount val="1"/>
                <c:pt idx="0">
                  <c:v>question has no errors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'48-main'!$A$17:$A$20</c:f>
              <c:strCache>
                <c:ptCount val="4"/>
                <c:pt idx="0">
                  <c:v>correct</c:v>
                </c:pt>
                <c:pt idx="1">
                  <c:v>phonological error only</c:v>
                </c:pt>
                <c:pt idx="2">
                  <c:v>nonphonological error only</c:v>
                </c:pt>
                <c:pt idx="3">
                  <c:v>both errors</c:v>
                </c:pt>
              </c:strCache>
            </c:strRef>
          </c:cat>
          <c:val>
            <c:numRef>
              <c:f>'48-main'!$B$17:$B$20</c:f>
              <c:numCache>
                <c:formatCode>General</c:formatCode>
                <c:ptCount val="4"/>
                <c:pt idx="0">
                  <c:v>0.63380281690140849</c:v>
                </c:pt>
                <c:pt idx="1">
                  <c:v>0.41013824884792627</c:v>
                </c:pt>
                <c:pt idx="2">
                  <c:v>0.28985507246376813</c:v>
                </c:pt>
                <c:pt idx="3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F-6A4D-8E3D-B8B1F9AA3356}"/>
            </c:ext>
          </c:extLst>
        </c:ser>
        <c:ser>
          <c:idx val="1"/>
          <c:order val="1"/>
          <c:tx>
            <c:strRef>
              <c:f>'48-main'!$C$16</c:f>
              <c:strCache>
                <c:ptCount val="1"/>
                <c:pt idx="0">
                  <c:v>unsure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'48-main'!$A$17:$A$20</c:f>
              <c:strCache>
                <c:ptCount val="4"/>
                <c:pt idx="0">
                  <c:v>correct</c:v>
                </c:pt>
                <c:pt idx="1">
                  <c:v>phonological error only</c:v>
                </c:pt>
                <c:pt idx="2">
                  <c:v>nonphonological error only</c:v>
                </c:pt>
                <c:pt idx="3">
                  <c:v>both errors</c:v>
                </c:pt>
              </c:strCache>
            </c:strRef>
          </c:cat>
          <c:val>
            <c:numRef>
              <c:f>'48-main'!$C$17:$C$20</c:f>
              <c:numCache>
                <c:formatCode>General</c:formatCode>
                <c:ptCount val="4"/>
                <c:pt idx="0">
                  <c:v>0.21126760563380281</c:v>
                </c:pt>
                <c:pt idx="1">
                  <c:v>0.22580645161290322</c:v>
                </c:pt>
                <c:pt idx="2">
                  <c:v>0.24154589371980675</c:v>
                </c:pt>
                <c:pt idx="3">
                  <c:v>0.27619047619047621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F-6A4D-8E3D-B8B1F9AA3356}"/>
            </c:ext>
          </c:extLst>
        </c:ser>
        <c:ser>
          <c:idx val="2"/>
          <c:order val="2"/>
          <c:tx>
            <c:strRef>
              <c:f>'48-main'!$D$16</c:f>
              <c:strCache>
                <c:ptCount val="1"/>
                <c:pt idx="0">
                  <c:v>question needs to be corrected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'48-main'!$A$17:$A$20</c:f>
              <c:strCache>
                <c:ptCount val="4"/>
                <c:pt idx="0">
                  <c:v>correct</c:v>
                </c:pt>
                <c:pt idx="1">
                  <c:v>phonological error only</c:v>
                </c:pt>
                <c:pt idx="2">
                  <c:v>nonphonological error only</c:v>
                </c:pt>
                <c:pt idx="3">
                  <c:v>both errors</c:v>
                </c:pt>
              </c:strCache>
            </c:strRef>
          </c:cat>
          <c:val>
            <c:numRef>
              <c:f>'48-main'!$D$17:$D$20</c:f>
              <c:numCache>
                <c:formatCode>General</c:formatCode>
                <c:ptCount val="4"/>
                <c:pt idx="0">
                  <c:v>0.15492957746478872</c:v>
                </c:pt>
                <c:pt idx="1">
                  <c:v>0.36405529953917048</c:v>
                </c:pt>
                <c:pt idx="2">
                  <c:v>0.46859903381642515</c:v>
                </c:pt>
                <c:pt idx="3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EF-6A4D-8E3D-B8B1F9AA3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4328400"/>
        <c:axId val="442220912"/>
      </c:barChart>
      <c:catAx>
        <c:axId val="2643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20912"/>
        <c:crosses val="autoZero"/>
        <c:auto val="1"/>
        <c:lblAlgn val="ctr"/>
        <c:lblOffset val="100"/>
        <c:noMultiLvlLbl val="0"/>
      </c:catAx>
      <c:valAx>
        <c:axId val="44222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32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error type reported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'48-main'!$B$30</c:f>
              <c:strCache>
                <c:ptCount val="1"/>
                <c:pt idx="0">
                  <c:v>both errors detected</c:v>
                </c:pt>
              </c:strCache>
            </c:strRef>
          </c:tx>
          <c:spPr>
            <a:solidFill>
              <a:srgbClr val="D883FF"/>
            </a:solidFill>
            <a:ln>
              <a:noFill/>
            </a:ln>
            <a:effectLst/>
          </c:spPr>
          <c:invertIfNegative val="0"/>
          <c:cat>
            <c:strRef>
              <c:f>'48-main'!$A$31:$A$33</c:f>
              <c:strCache>
                <c:ptCount val="3"/>
                <c:pt idx="0">
                  <c:v>phonological error only</c:v>
                </c:pt>
                <c:pt idx="1">
                  <c:v>nonphonological error only</c:v>
                </c:pt>
                <c:pt idx="2">
                  <c:v>both errors</c:v>
                </c:pt>
              </c:strCache>
            </c:strRef>
          </c:cat>
          <c:val>
            <c:numRef>
              <c:f>'48-main'!$B$31:$B$33</c:f>
              <c:numCache>
                <c:formatCode>General</c:formatCode>
                <c:ptCount val="3"/>
                <c:pt idx="2">
                  <c:v>3.6036036036036036E-2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8-F645-9193-39072F50C85E}"/>
            </c:ext>
          </c:extLst>
        </c:ser>
        <c:ser>
          <c:idx val="1"/>
          <c:order val="1"/>
          <c:tx>
            <c:strRef>
              <c:f>'48-main'!$C$30</c:f>
              <c:strCache>
                <c:ptCount val="1"/>
                <c:pt idx="0">
                  <c:v>nonphonological 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'48-main'!$A$31:$A$33</c:f>
              <c:strCache>
                <c:ptCount val="3"/>
                <c:pt idx="0">
                  <c:v>phonological error only</c:v>
                </c:pt>
                <c:pt idx="1">
                  <c:v>nonphonological error only</c:v>
                </c:pt>
                <c:pt idx="2">
                  <c:v>both errors</c:v>
                </c:pt>
              </c:strCache>
            </c:strRef>
          </c:cat>
          <c:val>
            <c:numRef>
              <c:f>'48-main'!$C$31:$C$33</c:f>
              <c:numCache>
                <c:formatCode>General</c:formatCode>
                <c:ptCount val="3"/>
                <c:pt idx="1">
                  <c:v>0.65979381443298968</c:v>
                </c:pt>
                <c:pt idx="2">
                  <c:v>0.42342342342342343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78-F645-9193-39072F50C85E}"/>
            </c:ext>
          </c:extLst>
        </c:ser>
        <c:ser>
          <c:idx val="2"/>
          <c:order val="2"/>
          <c:tx>
            <c:strRef>
              <c:f>'48-main'!$D$30</c:f>
              <c:strCache>
                <c:ptCount val="1"/>
                <c:pt idx="0">
                  <c:v>phonological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'48-main'!$A$31:$A$33</c:f>
              <c:strCache>
                <c:ptCount val="3"/>
                <c:pt idx="0">
                  <c:v>phonological error only</c:v>
                </c:pt>
                <c:pt idx="1">
                  <c:v>nonphonological error only</c:v>
                </c:pt>
                <c:pt idx="2">
                  <c:v>both errors</c:v>
                </c:pt>
              </c:strCache>
            </c:strRef>
          </c:cat>
          <c:val>
            <c:numRef>
              <c:f>'48-main'!$D$31:$D$33</c:f>
              <c:numCache>
                <c:formatCode>General</c:formatCode>
                <c:ptCount val="3"/>
                <c:pt idx="0">
                  <c:v>0.60759493670886078</c:v>
                </c:pt>
                <c:pt idx="1">
                  <c:v>3.0927835051546393E-2</c:v>
                </c:pt>
                <c:pt idx="2">
                  <c:v>0.29729729729729731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78-F645-9193-39072F50C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116208"/>
        <c:axId val="462672432"/>
      </c:barChart>
      <c:catAx>
        <c:axId val="46611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72432"/>
        <c:crosses val="autoZero"/>
        <c:auto val="1"/>
        <c:lblAlgn val="ctr"/>
        <c:lblOffset val="100"/>
        <c:noMultiLvlLbl val="0"/>
      </c:catAx>
      <c:valAx>
        <c:axId val="4626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1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error detected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'48-main'!$N$15</c:f>
              <c:strCache>
                <c:ptCount val="1"/>
                <c:pt idx="0">
                  <c:v>phonological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'48-main'!$M$16:$M$18</c:f>
              <c:strCache>
                <c:ptCount val="3"/>
                <c:pt idx="0">
                  <c:v>phonological error only</c:v>
                </c:pt>
                <c:pt idx="1">
                  <c:v>nonphonological error only</c:v>
                </c:pt>
                <c:pt idx="2">
                  <c:v>both errors</c:v>
                </c:pt>
              </c:strCache>
            </c:strRef>
          </c:cat>
          <c:val>
            <c:numRef>
              <c:f>'48-main'!$N$16:$N$18</c:f>
              <c:numCache>
                <c:formatCode>General</c:formatCode>
                <c:ptCount val="3"/>
                <c:pt idx="0">
                  <c:v>0.22119815668202766</c:v>
                </c:pt>
                <c:pt idx="2">
                  <c:v>0.1761904761904762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6-2D49-8E80-6DAE7EFBD9E5}"/>
            </c:ext>
          </c:extLst>
        </c:ser>
        <c:ser>
          <c:idx val="1"/>
          <c:order val="1"/>
          <c:tx>
            <c:strRef>
              <c:f>'48-main'!$O$15</c:f>
              <c:strCache>
                <c:ptCount val="1"/>
                <c:pt idx="0">
                  <c:v>nonphonological 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'48-main'!$M$16:$M$18</c:f>
              <c:strCache>
                <c:ptCount val="3"/>
                <c:pt idx="0">
                  <c:v>phonological error only</c:v>
                </c:pt>
                <c:pt idx="1">
                  <c:v>nonphonological error only</c:v>
                </c:pt>
                <c:pt idx="2">
                  <c:v>both errors</c:v>
                </c:pt>
              </c:strCache>
            </c:strRef>
          </c:cat>
          <c:val>
            <c:numRef>
              <c:f>'48-main'!$O$16:$O$18</c:f>
              <c:numCache>
                <c:formatCode>General</c:formatCode>
                <c:ptCount val="3"/>
                <c:pt idx="1">
                  <c:v>0.30917874396135264</c:v>
                </c:pt>
                <c:pt idx="2">
                  <c:v>0.24285714285714285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76-2D49-8E80-6DAE7EFBD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103936"/>
        <c:axId val="261021744"/>
      </c:barChart>
      <c:catAx>
        <c:axId val="4691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21744"/>
        <c:crosses val="autoZero"/>
        <c:auto val="1"/>
        <c:lblAlgn val="ctr"/>
        <c:lblOffset val="100"/>
        <c:noMultiLvlLbl val="0"/>
      </c:catAx>
      <c:valAx>
        <c:axId val="2610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0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642257</xdr:colOff>
      <xdr:row>9</xdr:row>
      <xdr:rowOff>78015</xdr:rowOff>
    </xdr:from>
    <xdr:to>
      <xdr:col>11</xdr:col>
      <xdr:colOff>737507</xdr:colOff>
      <xdr:row>33</xdr:row>
      <xdr:rowOff>161472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3516C1-B59C-844F-9E5B-B7BDA9CE1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291252</xdr:colOff>
      <xdr:row>9</xdr:row>
      <xdr:rowOff>98214</xdr:rowOff>
    </xdr:from>
    <xdr:to>
      <xdr:col>20</xdr:col>
      <xdr:colOff>225778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F043A2-67E7-9541-9AEA-4E37B5E99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119943</xdr:colOff>
      <xdr:row>8</xdr:row>
      <xdr:rowOff>156790</xdr:rowOff>
    </xdr:from>
    <xdr:to>
      <xdr:col>27</xdr:col>
      <xdr:colOff>239887</xdr:colOff>
      <xdr:row>27</xdr:row>
      <xdr:rowOff>89841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FB9A0-D36D-CF4C-B376-2C2F2A016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191284</xdr:colOff>
      <xdr:row>27</xdr:row>
      <xdr:rowOff>15679</xdr:rowOff>
    </xdr:from>
    <xdr:to>
      <xdr:col>27</xdr:col>
      <xdr:colOff>282222</xdr:colOff>
      <xdr:row>45</xdr:row>
      <xdr:rowOff>140798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99E488-0A58-AE44-A2B0-E6238A7B6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548766</xdr:colOff>
      <xdr:row>10</xdr:row>
      <xdr:rowOff>0</xdr:rowOff>
    </xdr:from>
    <xdr:to>
      <xdr:col>41</xdr:col>
      <xdr:colOff>721235</xdr:colOff>
      <xdr:row>32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85033A-43AB-2042-811A-88B5FB21A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463550</xdr:colOff>
      <xdr:row>1</xdr:row>
      <xdr:rowOff>171450</xdr:rowOff>
    </xdr:from>
    <xdr:to>
      <xdr:col>11</xdr:col>
      <xdr:colOff>82550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2FA13-6E47-B34C-BBCA-D3FAC23A5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18</xdr:row>
      <xdr:rowOff>95250</xdr:rowOff>
    </xdr:from>
    <xdr:to>
      <xdr:col>11</xdr:col>
      <xdr:colOff>0</xdr:colOff>
      <xdr:row>31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C60B98-1067-004C-828B-02212ADD7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800100</xdr:colOff>
      <xdr:row>19</xdr:row>
      <xdr:rowOff>31750</xdr:rowOff>
    </xdr:from>
    <xdr:to>
      <xdr:col>17</xdr:col>
      <xdr:colOff>419100</xdr:colOff>
      <xdr:row>36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6B9031-A43E-1D41-BD65-586FE431D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13D6-436F-A846-A161-A62AD2DF1DB4}">
  <dimension ref="A1:AK193"/>
  <sheetViews>
    <sheetView topLeftCell="S3" zoomScale="50" workbookViewId="0">
      <selection activeCell="AE11" sqref="AE11"/>
    </sheetView>
  </sheetViews>
  <sheetFormatPr baseColWidth="10" defaultRowHeight="16" x14ac:dyDescent="0.2"/>
  <sheetData>
    <row r="1" spans="1:37" x14ac:dyDescent="0.2">
      <c r="A1" s="3" t="s">
        <v>0</v>
      </c>
      <c r="B1" s="3" t="s">
        <v>1</v>
      </c>
      <c r="C1" s="1" t="s">
        <v>11</v>
      </c>
      <c r="E1" s="4" t="s">
        <v>9</v>
      </c>
      <c r="F1" s="4" t="s">
        <v>1</v>
      </c>
      <c r="G1" s="1"/>
      <c r="H1" s="1"/>
      <c r="I1" s="1"/>
      <c r="K1" s="4" t="s">
        <v>14</v>
      </c>
      <c r="L1" s="4" t="s">
        <v>11</v>
      </c>
      <c r="M1" s="1"/>
      <c r="N1" s="1"/>
      <c r="O1" s="1"/>
      <c r="P1" s="1"/>
    </row>
    <row r="2" spans="1:37" x14ac:dyDescent="0.2">
      <c r="A2" s="2" t="s">
        <v>2</v>
      </c>
      <c r="B2" s="1" t="s">
        <v>3</v>
      </c>
      <c r="C2" s="1" t="s">
        <v>7</v>
      </c>
      <c r="E2" s="4" t="s">
        <v>0</v>
      </c>
      <c r="F2" s="1" t="s">
        <v>5</v>
      </c>
      <c r="G2" s="1" t="s">
        <v>8</v>
      </c>
      <c r="H2" s="1" t="s">
        <v>3</v>
      </c>
      <c r="I2" s="1" t="s">
        <v>10</v>
      </c>
      <c r="K2" s="4" t="s">
        <v>0</v>
      </c>
      <c r="L2" s="1" t="s">
        <v>7</v>
      </c>
      <c r="M2" s="1" t="s">
        <v>6</v>
      </c>
      <c r="N2" s="1" t="s">
        <v>13</v>
      </c>
      <c r="O2" s="1" t="s">
        <v>12</v>
      </c>
      <c r="P2" s="1" t="s">
        <v>10</v>
      </c>
      <c r="S2" s="1" t="s">
        <v>5</v>
      </c>
      <c r="T2" s="1" t="s">
        <v>8</v>
      </c>
      <c r="U2" s="1" t="s">
        <v>3</v>
      </c>
      <c r="V2" s="1" t="s">
        <v>10</v>
      </c>
      <c r="Y2" s="1" t="s">
        <v>5</v>
      </c>
      <c r="Z2" s="1" t="s">
        <v>8</v>
      </c>
      <c r="AA2" s="1" t="s">
        <v>3</v>
      </c>
      <c r="AB2" s="1"/>
      <c r="AE2" s="1" t="s">
        <v>22</v>
      </c>
      <c r="AF2" s="1" t="s">
        <v>13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10</v>
      </c>
    </row>
    <row r="3" spans="1:37" x14ac:dyDescent="0.2">
      <c r="A3" s="2" t="s">
        <v>4</v>
      </c>
      <c r="B3" s="1" t="s">
        <v>5</v>
      </c>
      <c r="C3" s="1"/>
      <c r="E3" s="1" t="s">
        <v>4</v>
      </c>
      <c r="F3" s="1">
        <v>13</v>
      </c>
      <c r="G3" s="1">
        <v>4</v>
      </c>
      <c r="H3" s="1">
        <v>7</v>
      </c>
      <c r="I3" s="1">
        <v>24</v>
      </c>
      <c r="K3" s="1" t="s">
        <v>4</v>
      </c>
      <c r="L3" s="1"/>
      <c r="M3" s="1">
        <v>1</v>
      </c>
      <c r="N3" s="1">
        <v>5</v>
      </c>
      <c r="O3" s="1">
        <v>1</v>
      </c>
      <c r="P3" s="1">
        <v>7</v>
      </c>
      <c r="R3" s="1" t="s">
        <v>19</v>
      </c>
      <c r="S3" s="1">
        <v>34</v>
      </c>
      <c r="T3" s="1">
        <v>6</v>
      </c>
      <c r="U3" s="1">
        <v>8</v>
      </c>
      <c r="V3" s="1">
        <v>48</v>
      </c>
      <c r="X3" s="1" t="s">
        <v>19</v>
      </c>
      <c r="Y3" s="1">
        <f>S3/V3</f>
        <v>0.70833333333333337</v>
      </c>
      <c r="Z3" s="1">
        <f>T3/V3</f>
        <v>0.125</v>
      </c>
      <c r="AA3" s="1">
        <f>U3/V3</f>
        <v>0.16666666666666666</v>
      </c>
      <c r="AB3" s="1"/>
      <c r="AD3" s="1" t="s">
        <v>16</v>
      </c>
      <c r="AE3" s="1"/>
      <c r="AF3" s="1">
        <v>5</v>
      </c>
      <c r="AG3" s="1"/>
      <c r="AH3" s="1">
        <v>1</v>
      </c>
      <c r="AI3" s="1">
        <v>1</v>
      </c>
      <c r="AJ3" s="1">
        <v>1</v>
      </c>
      <c r="AK3" s="1">
        <v>8</v>
      </c>
    </row>
    <row r="4" spans="1:37" x14ac:dyDescent="0.2">
      <c r="A4" s="2" t="s">
        <v>6</v>
      </c>
      <c r="B4" s="1" t="s">
        <v>5</v>
      </c>
      <c r="C4" s="1"/>
      <c r="E4" s="1" t="s">
        <v>6</v>
      </c>
      <c r="F4" s="1">
        <v>10</v>
      </c>
      <c r="G4" s="1">
        <v>6</v>
      </c>
      <c r="H4" s="1">
        <v>8</v>
      </c>
      <c r="I4" s="1">
        <v>24</v>
      </c>
      <c r="K4" s="1" t="s">
        <v>6</v>
      </c>
      <c r="L4" s="1"/>
      <c r="M4" s="1">
        <v>4</v>
      </c>
      <c r="N4" s="1">
        <v>4</v>
      </c>
      <c r="O4" s="1"/>
      <c r="P4" s="1">
        <v>8</v>
      </c>
      <c r="R4" s="1" t="s">
        <v>21</v>
      </c>
      <c r="S4" s="1">
        <v>20</v>
      </c>
      <c r="T4" s="1">
        <v>7</v>
      </c>
      <c r="U4" s="1">
        <v>21</v>
      </c>
      <c r="V4" s="1">
        <v>48</v>
      </c>
      <c r="X4" s="1" t="s">
        <v>21</v>
      </c>
      <c r="Y4" s="1">
        <f>S4/V4</f>
        <v>0.41666666666666669</v>
      </c>
      <c r="Z4" s="1">
        <f>T4/V4</f>
        <v>0.14583333333333334</v>
      </c>
      <c r="AA4" s="1">
        <f>U4/V4</f>
        <v>0.4375</v>
      </c>
      <c r="AB4" s="1"/>
      <c r="AD4" s="1" t="s">
        <v>18</v>
      </c>
      <c r="AE4" s="1"/>
      <c r="AF4" s="1">
        <v>5</v>
      </c>
      <c r="AG4" s="1">
        <v>1</v>
      </c>
      <c r="AH4" s="1">
        <v>1</v>
      </c>
      <c r="AI4" s="1">
        <v>4</v>
      </c>
      <c r="AJ4" s="1">
        <v>10</v>
      </c>
      <c r="AK4" s="1">
        <v>21</v>
      </c>
    </row>
    <row r="5" spans="1:37" x14ac:dyDescent="0.2">
      <c r="A5" s="2" t="s">
        <v>7</v>
      </c>
      <c r="B5" s="1" t="s">
        <v>3</v>
      </c>
      <c r="C5" s="1"/>
      <c r="E5" s="1" t="s">
        <v>7</v>
      </c>
      <c r="F5" s="1">
        <v>11</v>
      </c>
      <c r="G5" s="1">
        <v>1</v>
      </c>
      <c r="H5" s="1">
        <v>12</v>
      </c>
      <c r="I5" s="1">
        <v>24</v>
      </c>
      <c r="K5" s="1" t="s">
        <v>7</v>
      </c>
      <c r="L5" s="1">
        <v>8</v>
      </c>
      <c r="M5" s="1"/>
      <c r="N5" s="1">
        <v>3</v>
      </c>
      <c r="O5" s="1">
        <v>1</v>
      </c>
      <c r="P5" s="1">
        <v>12</v>
      </c>
      <c r="R5" s="1" t="s">
        <v>20</v>
      </c>
      <c r="S5" s="1">
        <v>20</v>
      </c>
      <c r="T5" s="1">
        <v>2</v>
      </c>
      <c r="U5" s="1">
        <v>26</v>
      </c>
      <c r="V5" s="1">
        <v>48</v>
      </c>
      <c r="X5" s="1" t="s">
        <v>20</v>
      </c>
      <c r="Y5" s="1">
        <f>S5/V5</f>
        <v>0.41666666666666669</v>
      </c>
      <c r="Z5" s="1">
        <f>T5/V5</f>
        <v>4.1666666666666664E-2</v>
      </c>
      <c r="AA5" s="1">
        <f>U5/V5</f>
        <v>0.54166666666666663</v>
      </c>
      <c r="AB5" s="1"/>
      <c r="AD5" s="1" t="s">
        <v>17</v>
      </c>
      <c r="AE5" s="1">
        <v>18</v>
      </c>
      <c r="AF5" s="1">
        <v>3</v>
      </c>
      <c r="AG5" s="1">
        <v>1</v>
      </c>
      <c r="AH5" s="1">
        <v>2</v>
      </c>
      <c r="AI5" s="1">
        <v>2</v>
      </c>
      <c r="AJ5" s="1"/>
      <c r="AK5" s="1">
        <v>26</v>
      </c>
    </row>
    <row r="6" spans="1:37" x14ac:dyDescent="0.2">
      <c r="A6" s="2" t="s">
        <v>2</v>
      </c>
      <c r="B6" s="1" t="s">
        <v>3</v>
      </c>
      <c r="C6" s="1"/>
      <c r="E6" s="1" t="s">
        <v>2</v>
      </c>
      <c r="F6" s="1">
        <v>5</v>
      </c>
      <c r="G6" s="1">
        <v>5</v>
      </c>
      <c r="H6" s="1">
        <v>14</v>
      </c>
      <c r="I6" s="1">
        <v>24</v>
      </c>
      <c r="K6" s="1" t="s">
        <v>2</v>
      </c>
      <c r="L6" s="1">
        <v>6</v>
      </c>
      <c r="M6" s="1">
        <v>7</v>
      </c>
      <c r="N6" s="1">
        <v>1</v>
      </c>
      <c r="O6" s="1"/>
      <c r="P6" s="1">
        <v>14</v>
      </c>
      <c r="R6" s="1" t="s">
        <v>2</v>
      </c>
      <c r="S6" s="1">
        <v>9</v>
      </c>
      <c r="T6" s="1">
        <v>7</v>
      </c>
      <c r="U6" s="1">
        <v>32</v>
      </c>
      <c r="V6" s="1">
        <v>48</v>
      </c>
      <c r="X6" s="1" t="s">
        <v>2</v>
      </c>
      <c r="Y6" s="1">
        <f>S6/V6</f>
        <v>0.1875</v>
      </c>
      <c r="Z6" s="1">
        <f>T6/V6</f>
        <v>0.14583333333333334</v>
      </c>
      <c r="AA6" s="1">
        <f>U6/V6</f>
        <v>0.66666666666666663</v>
      </c>
      <c r="AB6" s="1"/>
      <c r="AD6" s="1" t="s">
        <v>15</v>
      </c>
      <c r="AE6" s="1">
        <v>20</v>
      </c>
      <c r="AF6" s="1">
        <v>1</v>
      </c>
      <c r="AG6" s="1">
        <v>1</v>
      </c>
      <c r="AH6" s="1"/>
      <c r="AI6" s="1"/>
      <c r="AJ6" s="1">
        <v>10</v>
      </c>
      <c r="AK6" s="1">
        <v>32</v>
      </c>
    </row>
    <row r="7" spans="1:37" x14ac:dyDescent="0.2">
      <c r="A7" s="2" t="s">
        <v>4</v>
      </c>
      <c r="B7" s="1" t="s">
        <v>8</v>
      </c>
      <c r="C7" s="1"/>
      <c r="E7" s="3" t="s">
        <v>10</v>
      </c>
      <c r="F7" s="3">
        <v>39</v>
      </c>
      <c r="G7" s="3">
        <v>16</v>
      </c>
      <c r="H7" s="3">
        <v>41</v>
      </c>
      <c r="I7" s="3">
        <v>96</v>
      </c>
      <c r="K7" s="3" t="s">
        <v>10</v>
      </c>
      <c r="L7" s="3">
        <v>14</v>
      </c>
      <c r="M7" s="3">
        <v>12</v>
      </c>
      <c r="N7" s="3">
        <v>13</v>
      </c>
      <c r="O7" s="3">
        <v>2</v>
      </c>
      <c r="P7" s="3">
        <v>41</v>
      </c>
      <c r="S7" s="3">
        <v>83</v>
      </c>
      <c r="T7" s="3">
        <v>22</v>
      </c>
      <c r="U7" s="3">
        <v>87</v>
      </c>
      <c r="V7" s="3">
        <v>192</v>
      </c>
      <c r="Y7" s="3"/>
      <c r="Z7" s="3"/>
      <c r="AA7" s="3"/>
      <c r="AB7" s="3"/>
      <c r="AE7" s="3">
        <v>38</v>
      </c>
      <c r="AF7" s="3">
        <v>14</v>
      </c>
      <c r="AG7" s="3">
        <v>3</v>
      </c>
      <c r="AH7" s="3">
        <v>4</v>
      </c>
      <c r="AI7" s="3">
        <v>7</v>
      </c>
      <c r="AJ7" s="3">
        <v>21</v>
      </c>
      <c r="AK7" s="3">
        <v>87</v>
      </c>
    </row>
    <row r="8" spans="1:37" x14ac:dyDescent="0.2">
      <c r="A8" s="2" t="s">
        <v>6</v>
      </c>
      <c r="B8" s="1" t="s">
        <v>3</v>
      </c>
      <c r="C8" s="1" t="s">
        <v>7</v>
      </c>
    </row>
    <row r="9" spans="1:37" x14ac:dyDescent="0.2">
      <c r="A9" s="2" t="s">
        <v>7</v>
      </c>
      <c r="B9" s="1" t="s">
        <v>5</v>
      </c>
      <c r="C9" s="1"/>
    </row>
    <row r="10" spans="1:37" x14ac:dyDescent="0.2">
      <c r="A10" s="2" t="s">
        <v>2</v>
      </c>
      <c r="B10" s="1" t="s">
        <v>3</v>
      </c>
      <c r="C10" s="1" t="s">
        <v>6</v>
      </c>
      <c r="AH10" s="1"/>
      <c r="AI10" s="1"/>
    </row>
    <row r="11" spans="1:37" x14ac:dyDescent="0.2">
      <c r="A11" s="2" t="s">
        <v>4</v>
      </c>
      <c r="B11" s="1" t="s">
        <v>8</v>
      </c>
      <c r="C11" s="1"/>
      <c r="AD11" s="1"/>
      <c r="AE11" s="1" t="s">
        <v>21</v>
      </c>
      <c r="AF11" s="1" t="s">
        <v>20</v>
      </c>
      <c r="AG11" s="1" t="s">
        <v>10</v>
      </c>
      <c r="AH11" s="1"/>
      <c r="AI11" s="1"/>
    </row>
    <row r="12" spans="1:37" x14ac:dyDescent="0.2">
      <c r="A12" s="2" t="s">
        <v>6</v>
      </c>
      <c r="B12" s="1" t="s">
        <v>5</v>
      </c>
      <c r="C12" s="1"/>
      <c r="AD12" s="1" t="s">
        <v>27</v>
      </c>
      <c r="AE12" s="1">
        <f>10/AG12</f>
        <v>0.47619047619047616</v>
      </c>
      <c r="AF12" s="1"/>
      <c r="AG12" s="1">
        <v>21</v>
      </c>
      <c r="AH12" s="1"/>
      <c r="AI12" s="1"/>
    </row>
    <row r="13" spans="1:37" x14ac:dyDescent="0.2">
      <c r="A13" s="2" t="s">
        <v>7</v>
      </c>
      <c r="B13" s="1" t="s">
        <v>3</v>
      </c>
      <c r="C13" s="1"/>
      <c r="AD13" s="1" t="s">
        <v>28</v>
      </c>
      <c r="AE13" s="1"/>
      <c r="AF13" s="1">
        <f>28/36</f>
        <v>0.77777777777777779</v>
      </c>
      <c r="AG13" s="1">
        <v>26</v>
      </c>
      <c r="AH13" s="1"/>
      <c r="AI13" s="1"/>
    </row>
    <row r="14" spans="1:37" x14ac:dyDescent="0.2">
      <c r="A14" s="2" t="s">
        <v>2</v>
      </c>
      <c r="B14" s="1" t="s">
        <v>3</v>
      </c>
      <c r="C14" s="1" t="s">
        <v>6</v>
      </c>
      <c r="AD14" s="1" t="s">
        <v>29</v>
      </c>
      <c r="AE14" s="1">
        <f>10/AG14</f>
        <v>0.3125</v>
      </c>
      <c r="AF14" s="1">
        <f>20/AG14</f>
        <v>0.625</v>
      </c>
      <c r="AG14" s="1">
        <v>32</v>
      </c>
      <c r="AH14" s="1"/>
      <c r="AI14" s="1"/>
    </row>
    <row r="15" spans="1:37" x14ac:dyDescent="0.2">
      <c r="A15" s="2" t="s">
        <v>4</v>
      </c>
      <c r="B15" s="1" t="s">
        <v>3</v>
      </c>
      <c r="C15" s="1"/>
      <c r="AE15" s="3">
        <v>21</v>
      </c>
      <c r="AF15" s="3">
        <v>38</v>
      </c>
      <c r="AG15" s="3">
        <v>87</v>
      </c>
      <c r="AH15" s="3"/>
      <c r="AI15" s="3"/>
    </row>
    <row r="16" spans="1:37" x14ac:dyDescent="0.2">
      <c r="A16" s="2" t="s">
        <v>6</v>
      </c>
      <c r="B16" s="1" t="s">
        <v>3</v>
      </c>
      <c r="C16" s="1"/>
    </row>
    <row r="17" spans="1:3" x14ac:dyDescent="0.2">
      <c r="A17" s="2" t="s">
        <v>7</v>
      </c>
      <c r="B17" s="1" t="s">
        <v>3</v>
      </c>
      <c r="C17" s="1"/>
    </row>
    <row r="18" spans="1:3" x14ac:dyDescent="0.2">
      <c r="A18" s="2" t="s">
        <v>2</v>
      </c>
      <c r="B18" s="1" t="s">
        <v>8</v>
      </c>
      <c r="C18" s="1" t="s">
        <v>7</v>
      </c>
    </row>
    <row r="19" spans="1:3" x14ac:dyDescent="0.2">
      <c r="A19" s="2" t="s">
        <v>4</v>
      </c>
      <c r="B19" s="1" t="s">
        <v>5</v>
      </c>
      <c r="C19" s="1"/>
    </row>
    <row r="20" spans="1:3" x14ac:dyDescent="0.2">
      <c r="A20" s="2" t="s">
        <v>6</v>
      </c>
      <c r="B20" s="1" t="s">
        <v>5</v>
      </c>
      <c r="C20" s="1"/>
    </row>
    <row r="21" spans="1:3" x14ac:dyDescent="0.2">
      <c r="A21" s="2" t="s">
        <v>7</v>
      </c>
      <c r="B21" s="1" t="s">
        <v>3</v>
      </c>
      <c r="C21" s="1"/>
    </row>
    <row r="22" spans="1:3" x14ac:dyDescent="0.2">
      <c r="A22" s="2" t="s">
        <v>2</v>
      </c>
      <c r="B22" s="1" t="s">
        <v>3</v>
      </c>
      <c r="C22" s="1"/>
    </row>
    <row r="23" spans="1:3" x14ac:dyDescent="0.2">
      <c r="A23" s="2" t="s">
        <v>4</v>
      </c>
      <c r="B23" s="1" t="s">
        <v>3</v>
      </c>
      <c r="C23" s="1"/>
    </row>
    <row r="24" spans="1:3" x14ac:dyDescent="0.2">
      <c r="A24" s="2" t="s">
        <v>6</v>
      </c>
      <c r="B24" s="1" t="s">
        <v>3</v>
      </c>
      <c r="C24" s="1" t="s">
        <v>7</v>
      </c>
    </row>
    <row r="25" spans="1:3" x14ac:dyDescent="0.2">
      <c r="A25" s="2" t="s">
        <v>7</v>
      </c>
      <c r="B25" s="1" t="s">
        <v>3</v>
      </c>
      <c r="C25" s="1"/>
    </row>
    <row r="26" spans="1:3" x14ac:dyDescent="0.2">
      <c r="A26" s="2" t="s">
        <v>6</v>
      </c>
      <c r="B26" s="1" t="s">
        <v>3</v>
      </c>
      <c r="C26" s="1" t="s">
        <v>6</v>
      </c>
    </row>
    <row r="27" spans="1:3" x14ac:dyDescent="0.2">
      <c r="A27" s="2" t="s">
        <v>7</v>
      </c>
      <c r="B27" s="1" t="s">
        <v>5</v>
      </c>
      <c r="C27" s="1"/>
    </row>
    <row r="28" spans="1:3" x14ac:dyDescent="0.2">
      <c r="A28" s="2" t="s">
        <v>2</v>
      </c>
      <c r="B28" s="1" t="s">
        <v>3</v>
      </c>
      <c r="C28" s="1" t="s">
        <v>12</v>
      </c>
    </row>
    <row r="29" spans="1:3" x14ac:dyDescent="0.2">
      <c r="A29" s="2" t="s">
        <v>4</v>
      </c>
      <c r="B29" s="1" t="s">
        <v>5</v>
      </c>
      <c r="C29" s="1"/>
    </row>
    <row r="30" spans="1:3" x14ac:dyDescent="0.2">
      <c r="A30" s="2" t="s">
        <v>6</v>
      </c>
      <c r="B30" s="1" t="s">
        <v>5</v>
      </c>
      <c r="C30" s="1" t="s">
        <v>6</v>
      </c>
    </row>
    <row r="31" spans="1:3" x14ac:dyDescent="0.2">
      <c r="A31" s="2" t="s">
        <v>7</v>
      </c>
      <c r="B31" s="1" t="s">
        <v>5</v>
      </c>
      <c r="C31" s="1"/>
    </row>
    <row r="32" spans="1:3" x14ac:dyDescent="0.2">
      <c r="A32" s="2" t="s">
        <v>2</v>
      </c>
      <c r="B32" s="1" t="s">
        <v>3</v>
      </c>
      <c r="C32" s="1" t="s">
        <v>12</v>
      </c>
    </row>
    <row r="33" spans="1:3" x14ac:dyDescent="0.2">
      <c r="A33" s="2" t="s">
        <v>4</v>
      </c>
      <c r="B33" s="1" t="s">
        <v>5</v>
      </c>
      <c r="C33" s="1"/>
    </row>
    <row r="34" spans="1:3" x14ac:dyDescent="0.2">
      <c r="A34" s="2" t="s">
        <v>6</v>
      </c>
      <c r="B34" s="1" t="s">
        <v>5</v>
      </c>
      <c r="C34" s="1"/>
    </row>
    <row r="35" spans="1:3" x14ac:dyDescent="0.2">
      <c r="A35" s="2" t="s">
        <v>7</v>
      </c>
      <c r="B35" s="1" t="s">
        <v>5</v>
      </c>
      <c r="C35" s="1"/>
    </row>
    <row r="36" spans="1:3" x14ac:dyDescent="0.2">
      <c r="A36" s="2" t="s">
        <v>2</v>
      </c>
      <c r="B36" s="1" t="s">
        <v>8</v>
      </c>
      <c r="C36" s="1"/>
    </row>
    <row r="37" spans="1:3" x14ac:dyDescent="0.2">
      <c r="A37" s="2" t="s">
        <v>4</v>
      </c>
      <c r="B37" s="1" t="s">
        <v>3</v>
      </c>
      <c r="C37" s="1"/>
    </row>
    <row r="38" spans="1:3" x14ac:dyDescent="0.2">
      <c r="A38" s="2" t="s">
        <v>6</v>
      </c>
      <c r="B38" s="1" t="s">
        <v>3</v>
      </c>
      <c r="C38" s="1"/>
    </row>
    <row r="39" spans="1:3" x14ac:dyDescent="0.2">
      <c r="A39" s="2" t="s">
        <v>7</v>
      </c>
      <c r="B39" s="1" t="s">
        <v>5</v>
      </c>
      <c r="C39" s="1"/>
    </row>
    <row r="40" spans="1:3" x14ac:dyDescent="0.2">
      <c r="A40" s="2" t="s">
        <v>2</v>
      </c>
      <c r="B40" s="1" t="s">
        <v>3</v>
      </c>
      <c r="C40" s="1" t="s">
        <v>7</v>
      </c>
    </row>
    <row r="41" spans="1:3" x14ac:dyDescent="0.2">
      <c r="A41" s="2" t="s">
        <v>4</v>
      </c>
      <c r="B41" s="1" t="s">
        <v>5</v>
      </c>
      <c r="C41" s="1"/>
    </row>
    <row r="42" spans="1:3" x14ac:dyDescent="0.2">
      <c r="A42" s="2" t="s">
        <v>6</v>
      </c>
      <c r="B42" s="1" t="s">
        <v>3</v>
      </c>
      <c r="C42" s="1" t="s">
        <v>7</v>
      </c>
    </row>
    <row r="43" spans="1:3" x14ac:dyDescent="0.2">
      <c r="A43" s="2" t="s">
        <v>7</v>
      </c>
      <c r="B43" s="1" t="s">
        <v>3</v>
      </c>
      <c r="C43" s="1"/>
    </row>
    <row r="44" spans="1:3" x14ac:dyDescent="0.2">
      <c r="A44" s="2" t="s">
        <v>2</v>
      </c>
      <c r="B44" s="1" t="s">
        <v>5</v>
      </c>
      <c r="C44" s="1" t="s">
        <v>13</v>
      </c>
    </row>
    <row r="45" spans="1:3" x14ac:dyDescent="0.2">
      <c r="A45" s="2" t="s">
        <v>4</v>
      </c>
      <c r="B45" s="1" t="s">
        <v>5</v>
      </c>
      <c r="C45" s="1"/>
    </row>
    <row r="46" spans="1:3" x14ac:dyDescent="0.2">
      <c r="A46" s="2" t="s">
        <v>6</v>
      </c>
      <c r="B46" s="1" t="s">
        <v>3</v>
      </c>
      <c r="C46" s="1" t="s">
        <v>13</v>
      </c>
    </row>
    <row r="47" spans="1:3" x14ac:dyDescent="0.2">
      <c r="A47" s="2" t="s">
        <v>7</v>
      </c>
      <c r="B47" s="1" t="s">
        <v>3</v>
      </c>
      <c r="C47" s="1"/>
    </row>
    <row r="48" spans="1:3" x14ac:dyDescent="0.2">
      <c r="A48" s="2" t="s">
        <v>2</v>
      </c>
      <c r="B48" s="1" t="s">
        <v>3</v>
      </c>
      <c r="C48" s="1" t="s">
        <v>7</v>
      </c>
    </row>
    <row r="49" spans="1:3" x14ac:dyDescent="0.2">
      <c r="A49" s="2" t="s">
        <v>4</v>
      </c>
      <c r="B49" s="1" t="s">
        <v>5</v>
      </c>
      <c r="C49" s="1"/>
    </row>
    <row r="50" spans="1:3" x14ac:dyDescent="0.2">
      <c r="A50" s="2" t="s">
        <v>4</v>
      </c>
      <c r="B50" s="1" t="s">
        <v>8</v>
      </c>
      <c r="C50" s="1" t="s">
        <v>13</v>
      </c>
    </row>
    <row r="51" spans="1:3" x14ac:dyDescent="0.2">
      <c r="A51" s="2" t="s">
        <v>6</v>
      </c>
      <c r="B51" s="1" t="s">
        <v>8</v>
      </c>
      <c r="C51" s="1"/>
    </row>
    <row r="52" spans="1:3" x14ac:dyDescent="0.2">
      <c r="A52" s="2" t="s">
        <v>7</v>
      </c>
      <c r="B52" s="1" t="s">
        <v>3</v>
      </c>
      <c r="C52" s="1"/>
    </row>
    <row r="53" spans="1:3" x14ac:dyDescent="0.2">
      <c r="A53" s="2" t="s">
        <v>2</v>
      </c>
      <c r="B53" s="1" t="s">
        <v>8</v>
      </c>
      <c r="C53" s="1"/>
    </row>
    <row r="54" spans="1:3" x14ac:dyDescent="0.2">
      <c r="A54" s="2" t="s">
        <v>4</v>
      </c>
      <c r="B54" s="1" t="s">
        <v>3</v>
      </c>
      <c r="C54" s="1" t="s">
        <v>7</v>
      </c>
    </row>
    <row r="55" spans="1:3" x14ac:dyDescent="0.2">
      <c r="A55" s="2" t="s">
        <v>6</v>
      </c>
      <c r="B55" s="1" t="s">
        <v>8</v>
      </c>
      <c r="C55" s="1"/>
    </row>
    <row r="56" spans="1:3" x14ac:dyDescent="0.2">
      <c r="A56" s="2" t="s">
        <v>7</v>
      </c>
      <c r="B56" s="1" t="s">
        <v>3</v>
      </c>
      <c r="C56" s="1"/>
    </row>
    <row r="57" spans="1:3" x14ac:dyDescent="0.2">
      <c r="A57" s="2" t="s">
        <v>2</v>
      </c>
      <c r="B57" s="1" t="s">
        <v>8</v>
      </c>
      <c r="C57" s="1"/>
    </row>
    <row r="58" spans="1:3" x14ac:dyDescent="0.2">
      <c r="A58" s="2" t="s">
        <v>4</v>
      </c>
      <c r="B58" s="1" t="s">
        <v>5</v>
      </c>
      <c r="C58" s="1"/>
    </row>
    <row r="59" spans="1:3" x14ac:dyDescent="0.2">
      <c r="A59" s="2" t="s">
        <v>6</v>
      </c>
      <c r="B59" s="1" t="s">
        <v>8</v>
      </c>
      <c r="C59" s="1"/>
    </row>
    <row r="60" spans="1:3" x14ac:dyDescent="0.2">
      <c r="A60" s="2" t="s">
        <v>7</v>
      </c>
      <c r="B60" s="1" t="s">
        <v>3</v>
      </c>
      <c r="C60" s="1"/>
    </row>
    <row r="61" spans="1:3" x14ac:dyDescent="0.2">
      <c r="A61" s="2" t="s">
        <v>2</v>
      </c>
      <c r="B61" s="1" t="s">
        <v>5</v>
      </c>
      <c r="C61" s="1"/>
    </row>
    <row r="62" spans="1:3" x14ac:dyDescent="0.2">
      <c r="A62" s="2" t="s">
        <v>4</v>
      </c>
      <c r="B62" s="1" t="s">
        <v>5</v>
      </c>
      <c r="C62" s="1" t="s">
        <v>7</v>
      </c>
    </row>
    <row r="63" spans="1:3" x14ac:dyDescent="0.2">
      <c r="A63" s="2" t="s">
        <v>6</v>
      </c>
      <c r="B63" s="1" t="s">
        <v>5</v>
      </c>
      <c r="C63" s="1"/>
    </row>
    <row r="64" spans="1:3" x14ac:dyDescent="0.2">
      <c r="A64" s="2" t="s">
        <v>7</v>
      </c>
      <c r="B64" s="1" t="s">
        <v>5</v>
      </c>
      <c r="C64" s="1"/>
    </row>
    <row r="65" spans="1:3" x14ac:dyDescent="0.2">
      <c r="A65" s="2" t="s">
        <v>2</v>
      </c>
      <c r="B65" s="1" t="s">
        <v>5</v>
      </c>
      <c r="C65" s="1"/>
    </row>
    <row r="66" spans="1:3" x14ac:dyDescent="0.2">
      <c r="A66" s="2" t="s">
        <v>4</v>
      </c>
      <c r="B66" s="1" t="s">
        <v>3</v>
      </c>
      <c r="C66" s="1"/>
    </row>
    <row r="67" spans="1:3" x14ac:dyDescent="0.2">
      <c r="A67" s="2" t="s">
        <v>6</v>
      </c>
      <c r="B67" s="1" t="s">
        <v>5</v>
      </c>
      <c r="C67" s="1"/>
    </row>
    <row r="68" spans="1:3" x14ac:dyDescent="0.2">
      <c r="A68" s="2" t="s">
        <v>7</v>
      </c>
      <c r="B68" s="1" t="s">
        <v>5</v>
      </c>
      <c r="C68" s="1"/>
    </row>
    <row r="69" spans="1:3" x14ac:dyDescent="0.2">
      <c r="A69" s="2" t="s">
        <v>2</v>
      </c>
      <c r="B69" s="1" t="s">
        <v>8</v>
      </c>
      <c r="C69" s="1"/>
    </row>
    <row r="70" spans="1:3" x14ac:dyDescent="0.2">
      <c r="A70" s="2" t="s">
        <v>4</v>
      </c>
      <c r="B70" s="1" t="s">
        <v>5</v>
      </c>
      <c r="C70" s="1"/>
    </row>
    <row r="71" spans="1:3" x14ac:dyDescent="0.2">
      <c r="A71" s="2" t="s">
        <v>6</v>
      </c>
      <c r="B71" s="1" t="s">
        <v>5</v>
      </c>
      <c r="C71" s="1"/>
    </row>
    <row r="72" spans="1:3" x14ac:dyDescent="0.2">
      <c r="A72" s="2" t="s">
        <v>7</v>
      </c>
      <c r="B72" s="1" t="s">
        <v>5</v>
      </c>
      <c r="C72" s="1" t="s">
        <v>13</v>
      </c>
    </row>
    <row r="73" spans="1:3" x14ac:dyDescent="0.2">
      <c r="A73" s="2" t="s">
        <v>2</v>
      </c>
      <c r="B73" s="1" t="s">
        <v>3</v>
      </c>
      <c r="C73" s="1"/>
    </row>
    <row r="74" spans="1:3" x14ac:dyDescent="0.2">
      <c r="A74" s="2" t="s">
        <v>4</v>
      </c>
      <c r="B74" s="1" t="s">
        <v>8</v>
      </c>
      <c r="C74" s="1"/>
    </row>
    <row r="75" spans="1:3" x14ac:dyDescent="0.2">
      <c r="A75" s="2" t="s">
        <v>6</v>
      </c>
      <c r="B75" s="1" t="s">
        <v>8</v>
      </c>
      <c r="C75" s="1" t="s">
        <v>6</v>
      </c>
    </row>
    <row r="76" spans="1:3" x14ac:dyDescent="0.2">
      <c r="A76" s="2" t="s">
        <v>7</v>
      </c>
      <c r="B76" s="1" t="s">
        <v>8</v>
      </c>
      <c r="C76" s="1"/>
    </row>
    <row r="77" spans="1:3" x14ac:dyDescent="0.2">
      <c r="A77" s="2" t="s">
        <v>2</v>
      </c>
      <c r="B77" s="1" t="s">
        <v>3</v>
      </c>
      <c r="C77" s="1"/>
    </row>
    <row r="78" spans="1:3" x14ac:dyDescent="0.2">
      <c r="A78" s="2" t="s">
        <v>4</v>
      </c>
      <c r="B78" s="1" t="s">
        <v>3</v>
      </c>
      <c r="C78" s="1" t="s">
        <v>6</v>
      </c>
    </row>
    <row r="79" spans="1:3" x14ac:dyDescent="0.2">
      <c r="A79" s="2" t="s">
        <v>6</v>
      </c>
      <c r="B79" s="1" t="s">
        <v>5</v>
      </c>
      <c r="C79" s="1"/>
    </row>
    <row r="80" spans="1:3" x14ac:dyDescent="0.2">
      <c r="A80" s="2" t="s">
        <v>7</v>
      </c>
      <c r="B80" s="1" t="s">
        <v>3</v>
      </c>
      <c r="C80" s="1"/>
    </row>
    <row r="81" spans="1:3" x14ac:dyDescent="0.2">
      <c r="A81" s="2" t="s">
        <v>2</v>
      </c>
      <c r="B81" s="1" t="s">
        <v>5</v>
      </c>
      <c r="C81" s="1"/>
    </row>
    <row r="82" spans="1:3" x14ac:dyDescent="0.2">
      <c r="A82" s="2" t="s">
        <v>4</v>
      </c>
      <c r="B82" s="1" t="s">
        <v>5</v>
      </c>
      <c r="C82" s="1"/>
    </row>
    <row r="83" spans="1:3" x14ac:dyDescent="0.2">
      <c r="A83" s="2" t="s">
        <v>6</v>
      </c>
      <c r="B83" s="1" t="s">
        <v>8</v>
      </c>
      <c r="C83" s="1" t="s">
        <v>13</v>
      </c>
    </row>
    <row r="84" spans="1:3" x14ac:dyDescent="0.2">
      <c r="A84" s="2" t="s">
        <v>7</v>
      </c>
      <c r="B84" s="1" t="s">
        <v>3</v>
      </c>
      <c r="C84" s="1" t="s">
        <v>7</v>
      </c>
    </row>
    <row r="85" spans="1:3" x14ac:dyDescent="0.2">
      <c r="A85" s="2" t="s">
        <v>2</v>
      </c>
      <c r="B85" s="1" t="s">
        <v>3</v>
      </c>
      <c r="C85" s="1"/>
    </row>
    <row r="86" spans="1:3" x14ac:dyDescent="0.2">
      <c r="A86" s="2" t="s">
        <v>4</v>
      </c>
      <c r="B86" s="1" t="s">
        <v>3</v>
      </c>
      <c r="C86" s="1"/>
    </row>
    <row r="87" spans="1:3" x14ac:dyDescent="0.2">
      <c r="A87" s="2" t="s">
        <v>6</v>
      </c>
      <c r="B87" s="1" t="s">
        <v>8</v>
      </c>
      <c r="C87" s="1"/>
    </row>
    <row r="88" spans="1:3" x14ac:dyDescent="0.2">
      <c r="A88" s="2" t="s">
        <v>7</v>
      </c>
      <c r="B88" s="1" t="s">
        <v>5</v>
      </c>
      <c r="C88" s="1"/>
    </row>
    <row r="89" spans="1:3" x14ac:dyDescent="0.2">
      <c r="A89" s="2" t="s">
        <v>2</v>
      </c>
      <c r="B89" s="1" t="s">
        <v>3</v>
      </c>
      <c r="C89" s="1"/>
    </row>
    <row r="90" spans="1:3" x14ac:dyDescent="0.2">
      <c r="A90" s="2" t="s">
        <v>4</v>
      </c>
      <c r="B90" s="1" t="s">
        <v>5</v>
      </c>
      <c r="C90" s="1" t="s">
        <v>13</v>
      </c>
    </row>
    <row r="91" spans="1:3" x14ac:dyDescent="0.2">
      <c r="A91" s="2" t="s">
        <v>6</v>
      </c>
      <c r="B91" s="1" t="s">
        <v>3</v>
      </c>
      <c r="C91" s="1"/>
    </row>
    <row r="92" spans="1:3" x14ac:dyDescent="0.2">
      <c r="A92" s="2" t="s">
        <v>7</v>
      </c>
      <c r="B92" s="1" t="s">
        <v>5</v>
      </c>
      <c r="C92" s="1"/>
    </row>
    <row r="93" spans="1:3" x14ac:dyDescent="0.2">
      <c r="A93" s="2" t="s">
        <v>2</v>
      </c>
      <c r="B93" s="1" t="s">
        <v>3</v>
      </c>
      <c r="C93" s="1" t="s">
        <v>13</v>
      </c>
    </row>
    <row r="94" spans="1:3" x14ac:dyDescent="0.2">
      <c r="A94" s="2" t="s">
        <v>4</v>
      </c>
      <c r="B94" s="1" t="s">
        <v>5</v>
      </c>
      <c r="C94" s="1" t="s">
        <v>7</v>
      </c>
    </row>
    <row r="95" spans="1:3" x14ac:dyDescent="0.2">
      <c r="A95" s="2" t="s">
        <v>6</v>
      </c>
      <c r="B95" s="1" t="s">
        <v>5</v>
      </c>
      <c r="C95" s="1"/>
    </row>
    <row r="96" spans="1:3" x14ac:dyDescent="0.2">
      <c r="A96" s="2" t="s">
        <v>7</v>
      </c>
      <c r="B96" s="1" t="s">
        <v>5</v>
      </c>
      <c r="C96" s="1"/>
    </row>
    <row r="97" spans="1:3" x14ac:dyDescent="0.2">
      <c r="A97" s="2" t="s">
        <v>2</v>
      </c>
      <c r="B97" s="1" t="s">
        <v>5</v>
      </c>
      <c r="C97" s="1"/>
    </row>
    <row r="98" spans="1:3" x14ac:dyDescent="0.2">
      <c r="C98" s="1"/>
    </row>
    <row r="99" spans="1:3" x14ac:dyDescent="0.2">
      <c r="C99" s="1"/>
    </row>
    <row r="100" spans="1:3" x14ac:dyDescent="0.2">
      <c r="C100" s="1"/>
    </row>
    <row r="101" spans="1:3" x14ac:dyDescent="0.2">
      <c r="C101" s="1"/>
    </row>
    <row r="102" spans="1:3" x14ac:dyDescent="0.2">
      <c r="C102" s="1" t="s">
        <v>7</v>
      </c>
    </row>
    <row r="103" spans="1:3" x14ac:dyDescent="0.2">
      <c r="C103" s="1"/>
    </row>
    <row r="104" spans="1:3" x14ac:dyDescent="0.2">
      <c r="C104" s="1"/>
    </row>
    <row r="105" spans="1:3" x14ac:dyDescent="0.2">
      <c r="C105" s="1"/>
    </row>
    <row r="106" spans="1:3" x14ac:dyDescent="0.2">
      <c r="C106" s="1"/>
    </row>
    <row r="107" spans="1:3" x14ac:dyDescent="0.2">
      <c r="C107" s="1" t="s">
        <v>13</v>
      </c>
    </row>
    <row r="108" spans="1:3" x14ac:dyDescent="0.2">
      <c r="C108" s="1"/>
    </row>
    <row r="109" spans="1:3" x14ac:dyDescent="0.2">
      <c r="C109" s="1"/>
    </row>
    <row r="110" spans="1:3" x14ac:dyDescent="0.2">
      <c r="C110" s="1"/>
    </row>
    <row r="111" spans="1:3" x14ac:dyDescent="0.2">
      <c r="C111" s="1" t="s">
        <v>7</v>
      </c>
    </row>
    <row r="112" spans="1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 t="s">
        <v>13</v>
      </c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  <row r="129" spans="3:3" x14ac:dyDescent="0.2">
      <c r="C129" s="1"/>
    </row>
    <row r="130" spans="3:3" x14ac:dyDescent="0.2">
      <c r="C130" s="1" t="s">
        <v>13</v>
      </c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 t="s">
        <v>6</v>
      </c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 t="s">
        <v>13</v>
      </c>
    </row>
    <row r="154" spans="3:3" x14ac:dyDescent="0.2">
      <c r="C154" s="1"/>
    </row>
    <row r="155" spans="3:3" x14ac:dyDescent="0.2">
      <c r="C155" s="1" t="s">
        <v>13</v>
      </c>
    </row>
    <row r="156" spans="3:3" x14ac:dyDescent="0.2">
      <c r="C156" s="1"/>
    </row>
    <row r="157" spans="3:3" x14ac:dyDescent="0.2">
      <c r="C157" s="1"/>
    </row>
    <row r="158" spans="3:3" x14ac:dyDescent="0.2">
      <c r="C158" s="1" t="s">
        <v>7</v>
      </c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 t="s">
        <v>13</v>
      </c>
    </row>
    <row r="167" spans="3:3" x14ac:dyDescent="0.2">
      <c r="C167" s="1"/>
    </row>
    <row r="168" spans="3:3" x14ac:dyDescent="0.2">
      <c r="C168" s="1" t="s">
        <v>6</v>
      </c>
    </row>
    <row r="169" spans="3:3" x14ac:dyDescent="0.2">
      <c r="C169" s="1"/>
    </row>
    <row r="170" spans="3:3" x14ac:dyDescent="0.2">
      <c r="C170" s="1" t="s">
        <v>6</v>
      </c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 t="s">
        <v>6</v>
      </c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 t="s">
        <v>6</v>
      </c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 t="s">
        <v>6</v>
      </c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71FE-F6D2-754B-9944-75EF1760A393}">
  <dimension ref="A1:O34"/>
  <sheetViews>
    <sheetView tabSelected="1" zoomScale="86" workbookViewId="0">
      <selection activeCell="L14" sqref="L14"/>
    </sheetView>
  </sheetViews>
  <sheetFormatPr baseColWidth="10" defaultRowHeight="16" x14ac:dyDescent="0.2"/>
  <sheetData>
    <row r="1" spans="1:15" x14ac:dyDescent="0.2">
      <c r="A1" t="s">
        <v>41</v>
      </c>
    </row>
    <row r="2" spans="1:15" x14ac:dyDescent="0.2">
      <c r="A2" t="s">
        <v>30</v>
      </c>
    </row>
    <row r="7" spans="1:15" x14ac:dyDescent="0.2">
      <c r="A7" s="4" t="s">
        <v>31</v>
      </c>
      <c r="B7" s="4" t="s">
        <v>32</v>
      </c>
      <c r="C7" s="1"/>
      <c r="D7" s="1"/>
      <c r="E7" s="1"/>
    </row>
    <row r="8" spans="1:15" x14ac:dyDescent="0.2">
      <c r="A8" s="4"/>
      <c r="B8" s="1" t="s">
        <v>34</v>
      </c>
      <c r="C8" s="1" t="s">
        <v>35</v>
      </c>
      <c r="D8" s="1" t="s">
        <v>36</v>
      </c>
      <c r="E8" s="1" t="s">
        <v>10</v>
      </c>
    </row>
    <row r="9" spans="1:15" x14ac:dyDescent="0.2">
      <c r="A9" s="1" t="s">
        <v>16</v>
      </c>
      <c r="B9" s="1">
        <v>135</v>
      </c>
      <c r="C9" s="1">
        <v>45</v>
      </c>
      <c r="D9" s="1">
        <v>33</v>
      </c>
      <c r="E9" s="1">
        <v>213</v>
      </c>
      <c r="M9" t="s">
        <v>42</v>
      </c>
    </row>
    <row r="10" spans="1:15" x14ac:dyDescent="0.2">
      <c r="A10" s="1" t="s">
        <v>18</v>
      </c>
      <c r="B10" s="1">
        <v>89</v>
      </c>
      <c r="C10" s="1">
        <v>49</v>
      </c>
      <c r="D10" s="1">
        <v>79</v>
      </c>
      <c r="E10" s="1">
        <v>217</v>
      </c>
      <c r="M10" t="s">
        <v>43</v>
      </c>
    </row>
    <row r="11" spans="1:15" x14ac:dyDescent="0.2">
      <c r="A11" s="1" t="s">
        <v>17</v>
      </c>
      <c r="B11" s="1">
        <v>60</v>
      </c>
      <c r="C11" s="1">
        <v>50</v>
      </c>
      <c r="D11" s="1">
        <v>97</v>
      </c>
      <c r="E11" s="1">
        <v>207</v>
      </c>
    </row>
    <row r="12" spans="1:15" x14ac:dyDescent="0.2">
      <c r="A12" s="1" t="s">
        <v>15</v>
      </c>
      <c r="B12" s="1">
        <v>40</v>
      </c>
      <c r="C12" s="1">
        <v>58</v>
      </c>
      <c r="D12" s="1">
        <v>112</v>
      </c>
      <c r="E12" s="1">
        <v>210</v>
      </c>
      <c r="M12" t="s">
        <v>44</v>
      </c>
    </row>
    <row r="13" spans="1:15" x14ac:dyDescent="0.2">
      <c r="A13" s="3" t="s">
        <v>10</v>
      </c>
      <c r="B13" s="3">
        <v>324</v>
      </c>
      <c r="C13" s="3">
        <v>202</v>
      </c>
      <c r="D13" s="3">
        <v>321</v>
      </c>
      <c r="E13" s="3">
        <v>847</v>
      </c>
      <c r="M13" t="s">
        <v>45</v>
      </c>
    </row>
    <row r="15" spans="1:15" x14ac:dyDescent="0.2">
      <c r="A15" s="4" t="s">
        <v>31</v>
      </c>
      <c r="B15" s="4" t="s">
        <v>32</v>
      </c>
      <c r="C15" s="1"/>
      <c r="D15" s="1"/>
      <c r="E15" s="1"/>
      <c r="N15" t="s">
        <v>21</v>
      </c>
      <c r="O15" t="s">
        <v>20</v>
      </c>
    </row>
    <row r="16" spans="1:15" x14ac:dyDescent="0.2">
      <c r="A16" s="4"/>
      <c r="B16" s="1" t="s">
        <v>37</v>
      </c>
      <c r="C16" s="1" t="s">
        <v>39</v>
      </c>
      <c r="D16" s="1" t="s">
        <v>38</v>
      </c>
      <c r="E16" s="1" t="s">
        <v>10</v>
      </c>
      <c r="M16" t="s">
        <v>27</v>
      </c>
      <c r="N16">
        <f>48/217</f>
        <v>0.22119815668202766</v>
      </c>
    </row>
    <row r="17" spans="1:15" x14ac:dyDescent="0.2">
      <c r="A17" s="1" t="s">
        <v>16</v>
      </c>
      <c r="B17" s="1">
        <v>0.63380281690140849</v>
      </c>
      <c r="C17" s="1">
        <v>0.21126760563380281</v>
      </c>
      <c r="D17" s="1">
        <v>0.15492957746478872</v>
      </c>
      <c r="E17" s="1">
        <v>213</v>
      </c>
      <c r="M17" t="s">
        <v>28</v>
      </c>
      <c r="O17">
        <f>64/207</f>
        <v>0.30917874396135264</v>
      </c>
    </row>
    <row r="18" spans="1:15" x14ac:dyDescent="0.2">
      <c r="A18" s="1" t="s">
        <v>27</v>
      </c>
      <c r="B18" s="1">
        <v>0.41013824884792627</v>
      </c>
      <c r="C18" s="1">
        <v>0.22580645161290322</v>
      </c>
      <c r="D18" s="1">
        <v>0.36405529953917048</v>
      </c>
      <c r="E18" s="1">
        <v>217</v>
      </c>
      <c r="M18" t="s">
        <v>29</v>
      </c>
      <c r="N18">
        <f>37/210</f>
        <v>0.1761904761904762</v>
      </c>
      <c r="O18">
        <f>51/210</f>
        <v>0.24285714285714285</v>
      </c>
    </row>
    <row r="19" spans="1:15" x14ac:dyDescent="0.2">
      <c r="A19" s="1" t="s">
        <v>28</v>
      </c>
      <c r="B19" s="1">
        <v>0.28985507246376813</v>
      </c>
      <c r="C19" s="1">
        <v>0.24154589371980675</v>
      </c>
      <c r="D19" s="1">
        <v>0.46859903381642515</v>
      </c>
      <c r="E19" s="1">
        <v>207</v>
      </c>
    </row>
    <row r="20" spans="1:15" x14ac:dyDescent="0.2">
      <c r="A20" s="1" t="s">
        <v>29</v>
      </c>
      <c r="B20" s="1">
        <v>0.19047619047619047</v>
      </c>
      <c r="C20" s="1">
        <v>0.27619047619047621</v>
      </c>
      <c r="D20" s="1">
        <v>0.53333333333333333</v>
      </c>
      <c r="E20" s="1">
        <v>210</v>
      </c>
    </row>
    <row r="21" spans="1:15" x14ac:dyDescent="0.2">
      <c r="A21" s="3" t="s">
        <v>10</v>
      </c>
      <c r="B21" s="3">
        <v>324</v>
      </c>
      <c r="C21" s="3">
        <v>202</v>
      </c>
      <c r="D21" s="3">
        <v>321</v>
      </c>
      <c r="E21" s="3">
        <v>847</v>
      </c>
    </row>
    <row r="23" spans="1:15" x14ac:dyDescent="0.2">
      <c r="A23" s="4" t="s">
        <v>33</v>
      </c>
      <c r="B23" s="1" t="s">
        <v>2</v>
      </c>
      <c r="C23" s="1" t="s">
        <v>22</v>
      </c>
      <c r="D23" s="1" t="s">
        <v>26</v>
      </c>
      <c r="E23" s="1" t="s">
        <v>10</v>
      </c>
      <c r="F23" s="1"/>
      <c r="H23" s="1"/>
      <c r="I23" s="1"/>
      <c r="K23" s="1"/>
      <c r="L23" s="1"/>
    </row>
    <row r="24" spans="1:15" x14ac:dyDescent="0.2">
      <c r="A24" s="1" t="s">
        <v>15</v>
      </c>
      <c r="B24" s="1">
        <v>4</v>
      </c>
      <c r="C24" s="1">
        <v>47</v>
      </c>
      <c r="D24" s="1">
        <v>33</v>
      </c>
      <c r="E24" s="1">
        <v>111</v>
      </c>
      <c r="F24" s="1"/>
      <c r="H24" s="1"/>
      <c r="I24" s="1"/>
      <c r="K24" s="1"/>
      <c r="L24" s="1"/>
    </row>
    <row r="25" spans="1:15" x14ac:dyDescent="0.2">
      <c r="A25" s="1" t="s">
        <v>16</v>
      </c>
      <c r="B25" s="1"/>
      <c r="C25" s="1">
        <v>1</v>
      </c>
      <c r="D25" s="1">
        <v>3</v>
      </c>
      <c r="E25" s="1">
        <v>33</v>
      </c>
      <c r="F25" s="1"/>
      <c r="H25" s="1"/>
      <c r="I25" s="1"/>
      <c r="K25" s="1"/>
      <c r="L25" s="1"/>
    </row>
    <row r="26" spans="1:15" x14ac:dyDescent="0.2">
      <c r="A26" s="1" t="s">
        <v>17</v>
      </c>
      <c r="B26" s="1"/>
      <c r="C26" s="1">
        <v>64</v>
      </c>
      <c r="D26" s="1">
        <v>3</v>
      </c>
      <c r="E26" s="1">
        <v>97</v>
      </c>
      <c r="F26" s="1"/>
      <c r="H26" s="1"/>
      <c r="I26" s="1"/>
      <c r="K26" s="1"/>
      <c r="L26" s="1"/>
    </row>
    <row r="27" spans="1:15" x14ac:dyDescent="0.2">
      <c r="A27" s="1" t="s">
        <v>18</v>
      </c>
      <c r="B27" s="1"/>
      <c r="C27" s="1"/>
      <c r="D27" s="1">
        <v>48</v>
      </c>
      <c r="E27" s="1">
        <v>79</v>
      </c>
      <c r="F27" s="1"/>
      <c r="H27" s="1"/>
      <c r="I27" s="1"/>
      <c r="K27" s="1"/>
      <c r="L27" s="1"/>
    </row>
    <row r="28" spans="1:15" x14ac:dyDescent="0.2">
      <c r="A28" s="3" t="s">
        <v>10</v>
      </c>
      <c r="B28" s="3">
        <v>4</v>
      </c>
      <c r="C28" s="3">
        <v>112</v>
      </c>
      <c r="D28" s="3">
        <v>87</v>
      </c>
      <c r="E28" s="3">
        <v>320</v>
      </c>
      <c r="F28" s="3"/>
      <c r="H28" s="3"/>
      <c r="I28" s="3"/>
      <c r="K28" s="3"/>
      <c r="L28" s="3"/>
    </row>
    <row r="30" spans="1:15" x14ac:dyDescent="0.2">
      <c r="A30" s="4" t="s">
        <v>33</v>
      </c>
      <c r="B30" s="1" t="s">
        <v>40</v>
      </c>
      <c r="C30" s="5" t="s">
        <v>20</v>
      </c>
      <c r="D30" s="5" t="s">
        <v>21</v>
      </c>
      <c r="E30" s="1"/>
    </row>
    <row r="31" spans="1:15" x14ac:dyDescent="0.2">
      <c r="A31" s="1" t="s">
        <v>27</v>
      </c>
      <c r="B31" s="1"/>
      <c r="C31" s="1"/>
      <c r="D31" s="1">
        <f>D27/E27</f>
        <v>0.60759493670886078</v>
      </c>
      <c r="E31" s="1"/>
    </row>
    <row r="32" spans="1:15" x14ac:dyDescent="0.2">
      <c r="A32" s="1" t="s">
        <v>28</v>
      </c>
      <c r="B32" s="1"/>
      <c r="C32" s="1">
        <f>C26/E26</f>
        <v>0.65979381443298968</v>
      </c>
      <c r="D32" s="1">
        <f>D26/97</f>
        <v>3.0927835051546393E-2</v>
      </c>
      <c r="E32" s="1"/>
    </row>
    <row r="33" spans="1:5" x14ac:dyDescent="0.2">
      <c r="A33" s="1" t="s">
        <v>29</v>
      </c>
      <c r="B33" s="1">
        <f>B24/E24</f>
        <v>3.6036036036036036E-2</v>
      </c>
      <c r="C33" s="1">
        <f>C24/E24</f>
        <v>0.42342342342342343</v>
      </c>
      <c r="D33" s="1">
        <f>D24/111</f>
        <v>0.29729729729729731</v>
      </c>
      <c r="E33" s="1"/>
    </row>
    <row r="34" spans="1:5" x14ac:dyDescent="0.2">
      <c r="A34" s="3"/>
      <c r="B34" s="3"/>
      <c r="C34" s="3"/>
      <c r="D34" s="3"/>
      <c r="E3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first-four</vt:lpstr>
      <vt:lpstr>48-main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2025-11-02T21:52:49Z</dcterms:created>
  <dcterms:modified xsi:type="dcterms:W3CDTF">2025-11-11T20:34:33Z</dcterms:modified>
</cp:coreProperties>
</file>